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DELL\Documents\Annual-Expense-Tracking-Dashboard\"/>
    </mc:Choice>
  </mc:AlternateContent>
  <xr:revisionPtr revIDLastSave="0" documentId="13_ncr:1_{8039C290-6E7A-4336-98B9-0D22E28093E6}" xr6:coauthVersionLast="47" xr6:coauthVersionMax="47" xr10:uidLastSave="{00000000-0000-0000-0000-000000000000}"/>
  <bookViews>
    <workbookView xWindow="-108" yWindow="-108" windowWidth="23256" windowHeight="12576" activeTab="2" xr2:uid="{9C2CB9ED-2F2D-4A50-AFAC-5DC28D296701}"/>
  </bookViews>
  <sheets>
    <sheet name="Raw_Data" sheetId="1" r:id="rId1"/>
    <sheet name="Analysis" sheetId="5" r:id="rId2"/>
    <sheet name="Dashboard" sheetId="6" r:id="rId3"/>
    <sheet name="Sites" sheetId="2" r:id="rId4"/>
    <sheet name="Expense_Types" sheetId="3" r:id="rId5"/>
  </sheets>
  <definedNames>
    <definedName name="Slicer_Month">#N/A</definedName>
    <definedName name="Slicer_Site">#N/A</definedName>
    <definedName name="Slicer_Year">#N/A</definedName>
  </definedNames>
  <calcPr calcId="191029"/>
  <pivotCaches>
    <pivotCache cacheId="0" r:id="rId6"/>
    <pivotCache cacheId="1" r:id="rId7"/>
    <pivotCache cacheId="2" r:id="rId8"/>
  </pivotCaches>
  <extLst>
    <ext xmlns:x14="http://schemas.microsoft.com/office/spreadsheetml/2009/9/main" uri="{876F7934-8845-4945-9796-88D515C7AA90}">
      <x14:pivotCaches>
        <pivotCache cacheId="3" r:id="rId9"/>
      </x14:pivotCaches>
    </ex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xpenses_Table_2789829c-1d55-4b9b-bf2b-d96c0c9218aa" name="Expenses_Table" connection="Query - Expenses_Table"/>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39" i="5"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BD4FF1-2CE2-4962-A8AA-2D4C8404ADA1}" name="Query - Expenses_Table" description="Connection to the 'Expenses_Table' query in the workbook." type="100" refreshedVersion="8" minRefreshableVersion="5">
    <extLst>
      <ext xmlns:x15="http://schemas.microsoft.com/office/spreadsheetml/2010/11/main" uri="{DE250136-89BD-433C-8126-D09CA5730AF9}">
        <x15:connection id="ef0a81c9-a54f-43c5-9c3a-e362eee3be6e"/>
      </ext>
    </extLst>
  </connection>
  <connection id="2" xr16:uid="{FBF1BB57-7E1B-4611-819A-02C802BB261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<sst xmlns="http://schemas.openxmlformats.org/spreadsheetml/2006/main" count="62" uniqueCount="22">
  <si>
    <t>Date</t>
  </si>
  <si>
    <t>Site</t>
  </si>
  <si>
    <t>Expense_Type</t>
  </si>
  <si>
    <t>Amount</t>
  </si>
  <si>
    <t>Notes</t>
  </si>
  <si>
    <t>Site A</t>
  </si>
  <si>
    <t>Site B</t>
  </si>
  <si>
    <t>Site C</t>
  </si>
  <si>
    <t>Rent</t>
  </si>
  <si>
    <t>Salaries</t>
  </si>
  <si>
    <t>Utilities</t>
  </si>
  <si>
    <t>Maintenance</t>
  </si>
  <si>
    <t>Other</t>
  </si>
  <si>
    <t>Site_Name</t>
  </si>
  <si>
    <t>Row Labels</t>
  </si>
  <si>
    <t>Grand Total</t>
  </si>
  <si>
    <t>Sum of Amount</t>
  </si>
  <si>
    <t>Column Labels</t>
  </si>
  <si>
    <t>Test</t>
  </si>
  <si>
    <t>January</t>
  </si>
  <si>
    <t>February</t>
  </si>
  <si>
    <t>March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</si>
</sst>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pivotButton="1"/>
    <xf numFmtId="0" fontId="0" fillId="0" borderId="0" xfId="0" applyAlignment="1">
      <alignment horizontal="left"/>
    </xf>
    <xf numFmtId="14" fontId="0" fillId="0" borderId="0" xfId="0" applyNumberFormat="1"/>
    <xf numFmtId="0" fontId="0" fillId="0" borderId="0" xfId="0" applyAlignment="1">
      <alignment horizontal="center"/>
    </xf>
  </cellXfs>
  <cellStyles count="1">
    <cellStyle name="Normal" xfId="0" builtinId="0"/>
  </cellStyles>
  <dxfs count="0"/>
  <tableStyles count="1" defaultTableStyle="TableStyleMedium2" defaultPivotStyle="PivotStyleLight16">
    <tableStyle name="Invisible" pivot="0" table="0" count="0" xr9:uid="{D64A5F44-76D5-4984-8743-024078BAB50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microsoft.com/office/2007/relationships/slicerCache" Target="slicerCaches/slicerCache3.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[Expense_Dashboard.xlsx]Analysis!Pivot_Total_Per_Site</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Expense per Site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Analysis!$A$2:$A$5</c:f>
              <c:strCache>
                <c:ptCount val="3"/>
                <c:pt idx="0">
                  <c:v>Site A</c:v>
                </c:pt>
                <c:pt idx="1">
                  <c:v>Site B</c:v>
                </c:pt>
                <c:pt idx="2">
                  <c:v>Site C</c:v>
                </c:pt>
              </c:strCache>
            </c:strRef>
          </c:cat>
          <c:val>
            <c:numRef>
              <c:f>Analysis!$B$2:$B$5</c:f>
              <c:numCache>
                <c:formatCode>General</c:formatCode>
                <c:ptCount val="3"/>
                <c:pt idx="0">
                  <c:v>2300</c:v>
                </c:pt>
                <c:pt idx="1">
                  <c:v>5200</c:v>
                </c:pt>
                <c:pt idx="2">
                  <c:v>3500</c:v>
                </c:pt>
              </c:numCache>
            </c:numRef>
          </c:val>
          <c:extLst>
            <c:ext xmlns:c16="http://schemas.microsoft.com/office/drawing/2014/chart" uri="{C3380CC4-5D6E-409C-BE32-E72D297353CC}">
              <c16:uniqueId val="{00000001-4FBE-4146-A6AA-191B2DD0402C}"/>
            </c:ext>
          </c:extLst>
        </c:ser>
        <c:dLbls>
          <c:dLblPos val="outEnd"/>
          <c:showLegendKey val="0"/>
          <c:showVal val="1"/>
          <c:showCatName val="0"/>
          <c:showSerName val="0"/>
          <c:showPercent val="0"/>
          <c:showBubbleSize val="0"/>
        </c:dLbls>
        <c:gapWidth val="219"/>
        <c:overlap val="-27"/>
        <c:axId val="1569900975"/>
        <c:axId val="1569899535"/>
      </c:barChart>
      <c:catAx>
        <c:axId val="1569900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899535"/>
        <c:crosses val="autoZero"/>
        <c:auto val="1"/>
        <c:lblAlgn val="ctr"/>
        <c:lblOffset val="100"/>
        <c:noMultiLvlLbl val="0"/>
      </c:catAx>
      <c:valAx>
        <c:axId val="15698995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9900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[Expense_Dashboard.xlsx]Analysis!Pivot_Total_Per_Site</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Expense Distribution by Site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Analysis!$B$1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66-41D5-9905-670DB9672EA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66-41D5-9905-670DB9672EA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066-41D5-9905-670DB9672EA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Analysis!$A$2:$A$5</c:f>
              <c:strCache>
                <c:ptCount val="3"/>
                <c:pt idx="0">
                  <c:v>Site A</c:v>
                </c:pt>
                <c:pt idx="1">
                  <c:v>Site B</c:v>
                </c:pt>
                <c:pt idx="2">
                  <c:v>Site C</c:v>
                </c:pt>
              </c:strCache>
            </c:strRef>
          </c:cat>
          <c:val>
            <c:numRef>
              <c:f>Analysis!$B$2:$B$5</c:f>
              <c:numCache>
                <c:formatCode>General</c:formatCode>
                <c:ptCount val="3"/>
                <c:pt idx="0">
                  <c:v>2300</c:v>
                </c:pt>
                <c:pt idx="1">
                  <c:v>5200</c:v>
                </c:pt>
                <c:pt idx="2">
                  <c:v>3500</c:v>
                </c:pt>
              </c:numCache>
            </c:numRef>
          </c:val>
          <c:extLst>
            <c:ext xmlns:c16="http://schemas.microsoft.com/office/drawing/2014/chart" uri="{C3380CC4-5D6E-409C-BE32-E72D297353CC}">
              <c16:uniqueId val="{00000007-CB90-42A4-A9E7-6DEC128D4EFB}"/>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[Expense_Dashboard.xlsx]Analysis!Pivot_Yearly</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Yearly</a:t>
            </a:r>
            <a:r>
              <a:rPr lang="en-US" baseline="0"/>
              <a:t> Expenses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Analysis!$B$35</c:f>
              <c:strCache>
                <c:ptCount val="1"/>
                <c:pt idx="0">
                  <c:v>Total</c:v>
                </c:pt>
              </c:strCache>
            </c:strRef>
          </c:tx>
          <c:spPr>
            <a:solidFill>
              <a:schemeClr val="accent1"/>
            </a:solidFill>
            <a:ln>
              <a:noFill/>
            </a:ln>
            <a:effectLst/>
          </c:spPr>
          <c:invertIfNegative val="0"/>
          <c:cat>
            <c:strRef>
              <c:f>Analysis!$A$36:$A$40</c:f>
              <c:strCache>
                <c:ptCount val="4"/>
                <c:pt idx="0">
                  <c:v>2023</c:v>
                </c:pt>
                <c:pt idx="1">
                  <c:v>2024</c:v>
                </c:pt>
                <c:pt idx="2">
                  <c:v>2025</c:v>
                </c:pt>
                <c:pt idx="3">
                  <c:v>2026</c:v>
                </c:pt>
              </c:strCache>
            </c:strRef>
          </c:cat>
          <c:val>
            <c:numRef>
              <c:f>Analysis!$B$36:$B$40</c:f>
              <c:numCache>
                <c:formatCode>General</c:formatCode>
                <c:ptCount val="4"/>
                <c:pt idx="0">
                  <c:v>1000</c:v>
                </c:pt>
                <c:pt idx="1">
                  <c:v>2500</c:v>
                </c:pt>
                <c:pt idx="2">
                  <c:v>4000</c:v>
                </c:pt>
                <c:pt idx="3">
                  <c:v>3500</c:v>
                </c:pt>
              </c:numCache>
            </c:numRef>
          </c:val>
          <c:extLst>
            <c:ext xmlns:c16="http://schemas.microsoft.com/office/drawing/2014/chart" uri="{C3380CC4-5D6E-409C-BE32-E72D297353CC}">
              <c16:uniqueId val="{00000001-CC85-47B4-8F58-1F278C35FCD0}"/>
            </c:ext>
          </c:extLst>
        </c:ser>
        <c:dLbls>
          <c:showLegendKey val="0"/>
          <c:showVal val="0"/>
          <c:showCatName val="0"/>
          <c:showSerName val="0"/>
          <c:showPercent val="0"/>
          <c:showBubbleSize val="0"/>
        </c:dLbls>
        <c:gapWidth val="219"/>
        <c:overlap val="-27"/>
        <c:axId val="2072577023"/>
        <c:axId val="2072577503"/>
      </c:barChart>
      <c:catAx>
        <c:axId val="2072577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577503"/>
        <c:crosses val="autoZero"/>
        <c:auto val="1"/>
        <c:lblAlgn val="ctr"/>
        <c:lblOffset val="100"/>
        <c:noMultiLvlLbl val="0"/>
      </c:catAx>
      <c:valAx>
        <c:axId val="20725775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25770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[Expense_Dashboard.xlsx]Analysis!Pivot_Monthly</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Expenses by Site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pPr>
            <a:solidFill>
              <a:schemeClr val="accent1"/>
            </a:solidFill>
            <a:ln w="9525">
              <a:solidFill>
                <a:schemeClr val="accent1"/>
              </a:solidFill>
            </a:ln>
            <a:effectLst/>
          </c:spPr>
        </c:marker>
      </c:pivotFmt>
      <c:pivotFmt>
        <c:idx val="10"/>
        <c:spPr>
          <a:solidFill>
            <a:schemeClr val="accent1"/>
          </a:solidFill>
          <a:ln>
            <a:noFill/>
          </a:ln>
          <a:effectLst/>
        </c:spPr>
        <c:marker>
          <c:spPr>
            <a:solidFill>
              <a:schemeClr val="accent1"/>
            </a:solidFill>
            <a:ln w="9525">
              <a:solidFill>
                <a:schemeClr val="accent1"/>
              </a:solidFill>
            </a:ln>
            <a:effectLst/>
          </c:spPr>
        </c:marke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Analysis!$B$15:$B$16</c:f>
              <c:strCache>
                <c:ptCount val="1"/>
                <c:pt idx="0">
                  <c:v>Site A</c:v>
                </c:pt>
              </c:strCache>
            </c:strRef>
          </c:tx>
          <c:spPr>
            <a:solidFill>
              <a:schemeClr val="accent1"/>
            </a:solidFill>
            <a:ln>
              <a:noFill/>
            </a:ln>
            <a:effectLst/>
          </c:spPr>
          <c:invertIfNegative val="0"/>
          <c:cat>
            <c:strRef>
              <c:f>Analysis!$A$17:$A$20</c:f>
              <c:strCache>
                <c:ptCount val="3"/>
                <c:pt idx="0">
                  <c:v>January</c:v>
                </c:pt>
                <c:pt idx="1">
                  <c:v>February</c:v>
                </c:pt>
                <c:pt idx="2">
                  <c:v>March</c:v>
                </c:pt>
              </c:strCache>
            </c:strRef>
          </c:cat>
          <c:val>
            <c:numRef>
              <c:f>Analysis!$B$17:$B$20</c:f>
              <c:numCache>
                <c:formatCode>General</c:formatCode>
                <c:ptCount val="3"/>
                <c:pt idx="0">
                  <c:v>2000</c:v>
                </c:pt>
                <c:pt idx="1">
                  <c:v>300</c:v>
                </c:pt>
              </c:numCache>
            </c:numRef>
          </c:val>
          <c:extLst>
            <c:ext xmlns:c16="http://schemas.microsoft.com/office/drawing/2014/chart" uri="{C3380CC4-5D6E-409C-BE32-E72D297353CC}">
              <c16:uniqueId val="{00000007-FB7C-499F-85CA-2C8316166DD0}"/>
            </c:ext>
          </c:extLst>
        </c:ser>
        <c:ser>
          <c:idx val="1"/>
          <c:order val="1"/>
          <c:tx>
            <c:strRef>
              <c:f>Analysis!$C$15:$C$16</c:f>
              <c:strCache>
                <c:ptCount val="1"/>
                <c:pt idx="0">
                  <c:v>Site B</c:v>
                </c:pt>
              </c:strCache>
            </c:strRef>
          </c:tx>
          <c:spPr>
            <a:solidFill>
              <a:schemeClr val="accent2"/>
            </a:solidFill>
            <a:ln>
              <a:noFill/>
            </a:ln>
            <a:effectLst/>
          </c:spPr>
          <c:invertIfNegative val="0"/>
          <c:cat>
            <c:strRef>
              <c:f>Analysis!$A$17:$A$20</c:f>
              <c:strCache>
                <c:ptCount val="3"/>
                <c:pt idx="0">
                  <c:v>January</c:v>
                </c:pt>
                <c:pt idx="1">
                  <c:v>February</c:v>
                </c:pt>
                <c:pt idx="2">
                  <c:v>March</c:v>
                </c:pt>
              </c:strCache>
            </c:strRef>
          </c:cat>
          <c:val>
            <c:numRef>
              <c:f>Analysis!$C$17:$C$20</c:f>
              <c:numCache>
                <c:formatCode>General</c:formatCode>
                <c:ptCount val="3"/>
                <c:pt idx="0">
                  <c:v>4000</c:v>
                </c:pt>
                <c:pt idx="2">
                  <c:v>1200</c:v>
                </c:pt>
              </c:numCache>
            </c:numRef>
          </c:val>
          <c:extLst>
            <c:ext xmlns:c16="http://schemas.microsoft.com/office/drawing/2014/chart" uri="{C3380CC4-5D6E-409C-BE32-E72D297353CC}">
              <c16:uniqueId val="{00000009-FB7C-499F-85CA-2C8316166DD0}"/>
            </c:ext>
          </c:extLst>
        </c:ser>
        <c:ser>
          <c:idx val="2"/>
          <c:order val="2"/>
          <c:tx>
            <c:strRef>
              <c:f>Analysis!$D$15:$D$16</c:f>
              <c:strCache>
                <c:ptCount val="1"/>
                <c:pt idx="0">
                  <c:v>Site C</c:v>
                </c:pt>
              </c:strCache>
            </c:strRef>
          </c:tx>
          <c:spPr>
            <a:solidFill>
              <a:schemeClr val="accent3"/>
            </a:solidFill>
            <a:ln>
              <a:noFill/>
            </a:ln>
            <a:effectLst/>
          </c:spPr>
          <c:invertIfNegative val="0"/>
          <c:cat>
            <c:strRef>
              <c:f>Analysis!$A$17:$A$20</c:f>
              <c:strCache>
                <c:ptCount val="3"/>
                <c:pt idx="0">
                  <c:v>January</c:v>
                </c:pt>
                <c:pt idx="1">
                  <c:v>February</c:v>
                </c:pt>
                <c:pt idx="2">
                  <c:v>March</c:v>
                </c:pt>
              </c:strCache>
            </c:strRef>
          </c:cat>
          <c:val>
            <c:numRef>
              <c:f>Analysis!$D$17:$D$20</c:f>
              <c:numCache>
                <c:formatCode>General</c:formatCode>
                <c:ptCount val="3"/>
                <c:pt idx="1">
                  <c:v>1000</c:v>
                </c:pt>
                <c:pt idx="2">
                  <c:v>2500</c:v>
                </c:pt>
              </c:numCache>
            </c:numRef>
          </c:val>
          <c:extLst>
            <c:ext xmlns:c16="http://schemas.microsoft.com/office/drawing/2014/chart" uri="{C3380CC4-5D6E-409C-BE32-E72D297353CC}">
              <c16:uniqueId val="{0000000B-FB7C-499F-85CA-2C8316166DD0}"/>
            </c:ext>
          </c:extLst>
        </c:ser>
        <c:dLbls>
          <c:showLegendKey val="0"/>
          <c:showVal val="0"/>
          <c:showCatName val="0"/>
          <c:showSerName val="0"/>
          <c:showPercent val="0"/>
          <c:showBubbleSize val="0"/>
        </c:dLbls>
        <c:gapWidth val="219"/>
        <c:overlap val="-27"/>
        <c:axId val="1117145215"/>
        <c:axId val="1117128415"/>
      </c:barChart>
      <c:catAx>
        <c:axId val="111714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128415"/>
        <c:crosses val="autoZero"/>
        <c:auto val="1"/>
        <c:lblAlgn val="ctr"/>
        <c:lblOffset val="100"/>
        <c:noMultiLvlLbl val="0"/>
      </c:catAx>
      <c:valAx>
        <c:axId val="11171284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7145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340659</xdr:colOff>
      <xdr:row>30</xdr:row>
      <xdr:rowOff>71716</xdr:rowOff>
    </xdr:to>
    <xdr:sp macro="" textlink="">
      <xdr:nvSpPr>
        <xdr:cNvPr id="2" name="Rectangle 1">
          <a:extLst>
            <a:ext uri="{FF2B5EF4-FFF2-40B4-BE49-F238E27FC236}">
              <a16:creationId xmlns:a16="http://schemas.microsoft.com/office/drawing/2014/main" id="{BBB64916-D8B4-4CC9-815C-AF373CA67E63}"/>
            </a:ext>
          </a:extLst>
        </xdr:cNvPr>
        <xdr:cNvSpPr/>
      </xdr:nvSpPr>
      <xdr:spPr>
        <a:xfrm>
          <a:off x="0" y="0"/>
          <a:ext cx="11923059" cy="545054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573740</xdr:colOff>
      <xdr:row>16</xdr:row>
      <xdr:rowOff>17930</xdr:rowOff>
    </xdr:from>
    <xdr:to>
      <xdr:col>19</xdr:col>
      <xdr:colOff>224117</xdr:colOff>
      <xdr:row>29</xdr:row>
      <xdr:rowOff>116543</xdr:rowOff>
    </xdr:to>
    <xdr:graphicFrame macro="">
      <xdr:nvGraphicFramePr>
        <xdr:cNvPr id="8" name="Chart 7">
          <a:extLst>
            <a:ext uri="{FF2B5EF4-FFF2-40B4-BE49-F238E27FC236}">
              <a16:creationId xmlns:a16="http://schemas.microsoft.com/office/drawing/2014/main" id="{B02B11EC-E182-485D-ACE0-D4F1EBD5A8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564777</xdr:colOff>
      <xdr:row>2</xdr:row>
      <xdr:rowOff>134471</xdr:rowOff>
    </xdr:from>
    <xdr:to>
      <xdr:col>19</xdr:col>
      <xdr:colOff>259977</xdr:colOff>
      <xdr:row>15</xdr:row>
      <xdr:rowOff>116541</xdr:rowOff>
    </xdr:to>
    <xdr:graphicFrame macro="">
      <xdr:nvGraphicFramePr>
        <xdr:cNvPr id="9" name="Chart 8">
          <a:extLst>
            <a:ext uri="{FF2B5EF4-FFF2-40B4-BE49-F238E27FC236}">
              <a16:creationId xmlns:a16="http://schemas.microsoft.com/office/drawing/2014/main" id="{A687A5F2-A158-455A-9DB3-F789E22B23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117353</xdr:colOff>
      <xdr:row>2</xdr:row>
      <xdr:rowOff>143436</xdr:rowOff>
    </xdr:from>
    <xdr:to>
      <xdr:col>10</xdr:col>
      <xdr:colOff>376518</xdr:colOff>
      <xdr:row>15</xdr:row>
      <xdr:rowOff>152400</xdr:rowOff>
    </xdr:to>
    <xdr:graphicFrame macro="">
      <xdr:nvGraphicFramePr>
        <xdr:cNvPr id="10" name="Chart 9">
          <a:extLst>
            <a:ext uri="{FF2B5EF4-FFF2-40B4-BE49-F238E27FC236}">
              <a16:creationId xmlns:a16="http://schemas.microsoft.com/office/drawing/2014/main" id="{85E4A350-4023-4E6A-8613-6161A0110A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99427</xdr:colOff>
      <xdr:row>16</xdr:row>
      <xdr:rowOff>26894</xdr:rowOff>
    </xdr:from>
    <xdr:to>
      <xdr:col>10</xdr:col>
      <xdr:colOff>404227</xdr:colOff>
      <xdr:row>29</xdr:row>
      <xdr:rowOff>152400</xdr:rowOff>
    </xdr:to>
    <xdr:graphicFrame macro="">
      <xdr:nvGraphicFramePr>
        <xdr:cNvPr id="11" name="Chart 10">
          <a:extLst>
            <a:ext uri="{FF2B5EF4-FFF2-40B4-BE49-F238E27FC236}">
              <a16:creationId xmlns:a16="http://schemas.microsoft.com/office/drawing/2014/main" id="{A296DD4B-BB56-40E7-BC9A-E8B93D01FC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0</xdr:row>
      <xdr:rowOff>0</xdr:rowOff>
    </xdr:from>
    <xdr:to>
      <xdr:col>19</xdr:col>
      <xdr:colOff>376518</xdr:colOff>
      <xdr:row>2</xdr:row>
      <xdr:rowOff>44824</xdr:rowOff>
    </xdr:to>
    <xdr:sp macro="" textlink="">
      <xdr:nvSpPr>
        <xdr:cNvPr id="14" name="Rectangle 13">
          <a:extLst>
            <a:ext uri="{FF2B5EF4-FFF2-40B4-BE49-F238E27FC236}">
              <a16:creationId xmlns:a16="http://schemas.microsoft.com/office/drawing/2014/main" id="{8D82FAA7-B236-B508-C439-B9932DEDF7DD}"/>
            </a:ext>
          </a:extLst>
        </xdr:cNvPr>
        <xdr:cNvSpPr/>
      </xdr:nvSpPr>
      <xdr:spPr>
        <a:xfrm>
          <a:off x="0" y="0"/>
          <a:ext cx="11958918" cy="403412"/>
        </a:xfrm>
        <a:prstGeom prst="rect">
          <a:avLst/>
        </a:prstGeom>
        <a:solidFill>
          <a:schemeClr val="bg1"/>
        </a:solidFill>
        <a:ln>
          <a:noFill/>
        </a:ln>
        <a:effectLst>
          <a:outerShdw blurRad="50800" dist="38100" dir="10800000" algn="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000" b="1" i="1"/>
            <a:t>Expense</a:t>
          </a:r>
          <a:r>
            <a:rPr lang="en-US" sz="2000" b="1" i="1" baseline="0"/>
            <a:t> Dashboard</a:t>
          </a:r>
          <a:endParaRPr lang="en-US" sz="2000" b="1" i="1"/>
        </a:p>
      </xdr:txBody>
    </xdr:sp>
    <xdr:clientData/>
  </xdr:twoCellAnchor>
  <xdr:twoCellAnchor>
    <xdr:from>
      <xdr:col>0</xdr:col>
      <xdr:colOff>1</xdr:colOff>
      <xdr:row>2</xdr:row>
      <xdr:rowOff>44824</xdr:rowOff>
    </xdr:from>
    <xdr:to>
      <xdr:col>0</xdr:col>
      <xdr:colOff>179294</xdr:colOff>
      <xdr:row>30</xdr:row>
      <xdr:rowOff>35858</xdr:rowOff>
    </xdr:to>
    <xdr:sp macro="" textlink="">
      <xdr:nvSpPr>
        <xdr:cNvPr id="15" name="Rectangle 14">
          <a:extLst>
            <a:ext uri="{FF2B5EF4-FFF2-40B4-BE49-F238E27FC236}">
              <a16:creationId xmlns:a16="http://schemas.microsoft.com/office/drawing/2014/main" id="{8B082435-40A2-248F-E707-36F41DCFEFFA}"/>
            </a:ext>
          </a:extLst>
        </xdr:cNvPr>
        <xdr:cNvSpPr/>
      </xdr:nvSpPr>
      <xdr:spPr>
        <a:xfrm>
          <a:off x="1" y="403412"/>
          <a:ext cx="179293" cy="5011270"/>
        </a:xfrm>
        <a:prstGeom prst="rect">
          <a:avLst/>
        </a:prstGeom>
        <a:solidFill>
          <a:schemeClr val="bg1"/>
        </a:solidFill>
        <a:ln>
          <a:noFill/>
        </a:ln>
        <a:effectLst>
          <a:outerShdw blurRad="50800" dist="50800" dir="5400000" algn="ctr" rotWithShape="0">
            <a:schemeClr val="bg1"/>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0</xdr:col>
      <xdr:colOff>215154</xdr:colOff>
      <xdr:row>23</xdr:row>
      <xdr:rowOff>71718</xdr:rowOff>
    </xdr:from>
    <xdr:to>
      <xdr:col>2</xdr:col>
      <xdr:colOff>600635</xdr:colOff>
      <xdr:row>30</xdr:row>
      <xdr:rowOff>17928</xdr:rowOff>
    </xdr:to>
    <mc:AlternateContent xmlns:mc="http://schemas.openxmlformats.org/markup-compatibility/2006" xmlns:a14="http://schemas.microsoft.com/office/drawing/2010/main">
      <mc:Choice Requires="a14">
        <xdr:graphicFrame macro="">
          <xdr:nvGraphicFramePr>
            <xdr:cNvPr id="16" name="Month">
              <a:extLst>
                <a:ext uri="{FF2B5EF4-FFF2-40B4-BE49-F238E27FC236}">
                  <a16:creationId xmlns:a16="http://schemas.microsoft.com/office/drawing/2014/main" id="{7F56D007-C4EF-3919-7132-9A512B74D241}"/>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15154" y="4195483"/>
              <a:ext cx="1604681" cy="12012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251011</xdr:colOff>
      <xdr:row>7</xdr:row>
      <xdr:rowOff>80684</xdr:rowOff>
    </xdr:from>
    <xdr:to>
      <xdr:col>2</xdr:col>
      <xdr:colOff>591670</xdr:colOff>
      <xdr:row>14</xdr:row>
      <xdr:rowOff>44823</xdr:rowOff>
    </xdr:to>
    <mc:AlternateContent xmlns:mc="http://schemas.openxmlformats.org/markup-compatibility/2006" xmlns:a14="http://schemas.microsoft.com/office/drawing/2010/main">
      <mc:Choice Requires="a14">
        <xdr:graphicFrame macro="">
          <xdr:nvGraphicFramePr>
            <xdr:cNvPr id="17" name="Site">
              <a:extLst>
                <a:ext uri="{FF2B5EF4-FFF2-40B4-BE49-F238E27FC236}">
                  <a16:creationId xmlns:a16="http://schemas.microsoft.com/office/drawing/2014/main" id="{3E9D01DE-E4BB-24F9-F678-B9F7B16E4DC7}"/>
                </a:ext>
              </a:extLst>
            </xdr:cNvPr>
            <xdr:cNvGraphicFramePr/>
          </xdr:nvGraphicFramePr>
          <xdr:xfrm>
            <a:off x="0" y="0"/>
            <a:ext cx="0" cy="0"/>
          </xdr:xfrm>
          <a:graphic>
            <a:graphicData uri="http://schemas.microsoft.com/office/drawing/2010/slicer">
              <sle:slicer xmlns:sle="http://schemas.microsoft.com/office/drawing/2010/slicer" name="Site"/>
            </a:graphicData>
          </a:graphic>
        </xdr:graphicFrame>
      </mc:Choice>
      <mc:Fallback xmlns="">
        <xdr:sp macro="" textlink="">
          <xdr:nvSpPr>
            <xdr:cNvPr id="0" name=""/>
            <xdr:cNvSpPr>
              <a:spLocks noTextEdit="1"/>
            </xdr:cNvSpPr>
          </xdr:nvSpPr>
          <xdr:spPr>
            <a:xfrm>
              <a:off x="251011" y="1335743"/>
              <a:ext cx="1559859" cy="121919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251011</xdr:colOff>
      <xdr:row>14</xdr:row>
      <xdr:rowOff>116541</xdr:rowOff>
    </xdr:from>
    <xdr:to>
      <xdr:col>2</xdr:col>
      <xdr:colOff>600635</xdr:colOff>
      <xdr:row>23</xdr:row>
      <xdr:rowOff>1</xdr:rowOff>
    </xdr:to>
    <mc:AlternateContent xmlns:mc="http://schemas.openxmlformats.org/markup-compatibility/2006" xmlns:a14="http://schemas.microsoft.com/office/drawing/2010/main">
      <mc:Choice Requires="a14">
        <xdr:graphicFrame macro="">
          <xdr:nvGraphicFramePr>
            <xdr:cNvPr id="18" name="Year">
              <a:extLst>
                <a:ext uri="{FF2B5EF4-FFF2-40B4-BE49-F238E27FC236}">
                  <a16:creationId xmlns:a16="http://schemas.microsoft.com/office/drawing/2014/main" id="{51CFCEBA-3B6B-DFD7-B04F-62B0B5CB37EF}"/>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51011" y="2626659"/>
              <a:ext cx="1568824" cy="14971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242048</xdr:colOff>
      <xdr:row>2</xdr:row>
      <xdr:rowOff>125507</xdr:rowOff>
    </xdr:from>
    <xdr:to>
      <xdr:col>2</xdr:col>
      <xdr:colOff>569708</xdr:colOff>
      <xdr:row>6</xdr:row>
      <xdr:rowOff>173112</xdr:rowOff>
    </xdr:to>
    <xdr:grpSp>
      <xdr:nvGrpSpPr>
        <xdr:cNvPr id="24" name="Group 23">
          <a:extLst>
            <a:ext uri="{FF2B5EF4-FFF2-40B4-BE49-F238E27FC236}">
              <a16:creationId xmlns:a16="http://schemas.microsoft.com/office/drawing/2014/main" id="{53FD4630-4A3B-4961-8ADD-948A9DE2A81A}"/>
            </a:ext>
          </a:extLst>
        </xdr:cNvPr>
        <xdr:cNvGrpSpPr/>
      </xdr:nvGrpSpPr>
      <xdr:grpSpPr>
        <a:xfrm>
          <a:off x="242048" y="484095"/>
          <a:ext cx="1546860" cy="764782"/>
          <a:chOff x="0" y="457200"/>
          <a:chExt cx="1645920" cy="769620"/>
        </a:xfrm>
        <a:solidFill>
          <a:schemeClr val="accent1">
            <a:lumMod val="40000"/>
            <a:lumOff val="60000"/>
          </a:schemeClr>
        </a:solidFill>
        <a:effectLst>
          <a:outerShdw blurRad="50800" dist="38100" dir="10800000" algn="r" rotWithShape="0">
            <a:prstClr val="black">
              <a:alpha val="40000"/>
            </a:prstClr>
          </a:outerShdw>
        </a:effectLst>
      </xdr:grpSpPr>
      <xdr:sp macro="" textlink="Analysis!D39">
        <xdr:nvSpPr>
          <xdr:cNvPr id="25" name="TextBox 24">
            <a:extLst>
              <a:ext uri="{FF2B5EF4-FFF2-40B4-BE49-F238E27FC236}">
                <a16:creationId xmlns:a16="http://schemas.microsoft.com/office/drawing/2014/main" id="{539FFB97-A0E2-4674-8A1A-613FCEB4322A}"/>
              </a:ext>
            </a:extLst>
          </xdr:cNvPr>
          <xdr:cNvSpPr txBox="1"/>
        </xdr:nvSpPr>
        <xdr:spPr>
          <a:xfrm>
            <a:off x="0" y="678180"/>
            <a:ext cx="1645920" cy="548640"/>
          </a:xfrm>
          <a:prstGeom prst="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lstStyle/>
          <a:p>
            <a:pPr algn="ctr"/>
            <a:fld id="{BE37C1AA-989F-4224-BA3B-728B19E26389}" type="TxLink">
              <a:rPr lang="en-US" sz="1600" b="1" i="1" u="none" strike="noStrike">
                <a:solidFill>
                  <a:schemeClr val="tx2">
                    <a:lumMod val="75000"/>
                  </a:schemeClr>
                </a:solidFill>
                <a:latin typeface="Calibri"/>
                <a:cs typeface="Calibri"/>
              </a:rPr>
              <a:pPr algn="ctr"/>
              <a:t>11000</a:t>
            </a:fld>
            <a:r>
              <a:rPr lang="en-US" sz="1600" b="1" i="1" u="none" strike="noStrike">
                <a:solidFill>
                  <a:schemeClr val="tx2">
                    <a:lumMod val="75000"/>
                  </a:schemeClr>
                </a:solidFill>
                <a:latin typeface="Calibri"/>
                <a:cs typeface="Calibri"/>
              </a:rPr>
              <a:t> EGP</a:t>
            </a:r>
          </a:p>
        </xdr:txBody>
      </xdr:sp>
      <xdr:sp macro="" textlink="">
        <xdr:nvSpPr>
          <xdr:cNvPr id="26" name="TextBox 25">
            <a:extLst>
              <a:ext uri="{FF2B5EF4-FFF2-40B4-BE49-F238E27FC236}">
                <a16:creationId xmlns:a16="http://schemas.microsoft.com/office/drawing/2014/main" id="{708A2C4B-F29F-1204-2D87-67AB92E24C62}"/>
              </a:ext>
            </a:extLst>
          </xdr:cNvPr>
          <xdr:cNvSpPr txBox="1"/>
        </xdr:nvSpPr>
        <xdr:spPr>
          <a:xfrm>
            <a:off x="0" y="457200"/>
            <a:ext cx="1645920" cy="220980"/>
          </a:xfrm>
          <a:prstGeom prst="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lstStyle/>
          <a:p>
            <a:pPr algn="ctr"/>
            <a:r>
              <a:rPr lang="en-US" sz="1400" b="1" i="1">
                <a:solidFill>
                  <a:srgbClr val="0B2545"/>
                </a:solidFill>
              </a:rPr>
              <a:t>Total Expenses </a:t>
            </a:r>
            <a:r>
              <a:rPr lang="en-US" sz="1100"/>
              <a:t>💰</a:t>
            </a:r>
          </a:p>
        </xdr:txBody>
      </xdr: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7.408752546296" backgroundQuery="1" createdVersion="8" refreshedVersion="8" minRefreshableVersion="3" recordCount="0" supportSubquery="1" supportAdvancedDrill="1" xr:uid="{B5F369C6-BC47-4D0E-B595-B25489ABC5FD}">
  <cacheSource type="external" connectionId="2"/>
  <cacheFields count="3">
    <cacheField name="[Expenses_Table].[Site].[Site]" caption="Site" numFmtId="0" hierarchy="1" level="1">
      <sharedItems count="3">
        <s v="Site A"/>
        <s v="Site B"/>
        <s v="Site C"/>
      </sharedItems>
    </cacheField>
    <cacheField name="[Measures].[Sum of Amount]" caption="Sum of Amount" numFmtId="0" hierarchy="9" level="32767"/>
    <cacheField name="[Expenses_Table].[Month].[Month]" caption="Month" numFmtId="0" hierarchy="5" level="1">
      <sharedItems containsSemiMixedTypes="0" containsNonDate="0" containsString="0"/>
    </cacheField>
  </cacheFields>
  <cacheHierarchies count="11">
    <cacheHierarchy uniqueName="[Expenses_Table].[Date]" caption="Date" attribute="1" time="1" defaultMemberUniqueName="[Expenses_Table].[Date].[All]" allUniqueName="[Expenses_Table].[Date].[All]" dimensionUniqueName="[Expenses_Table]" displayFolder="" count="0" memberValueDatatype="7" unbalanced="0"/>
    <cacheHierarchy uniqueName="[Expenses_Table].[Site]" caption="Site" attribute="1" defaultMemberUniqueName="[Expenses_Table].[Site].[All]" allUniqueName="[Expenses_Table].[Site].[All]" dimensionUniqueName="[Expenses_Table]" displayFolder="" count="2" memberValueDatatype="130" unbalanced="0">
      <fieldsUsage count="2">
        <fieldUsage x="-1"/>
        <fieldUsage x="0"/>
      </fieldsUsage>
    </cacheHierarchy>
    <cacheHierarchy uniqueName="[Expenses_Table].[Expense_Type]" caption="Expense_Type" attribute="1" defaultMemberUniqueName="[Expenses_Table].[Expense_Type].[All]" allUniqueName="[Expenses_Table].[Expense_Type].[All]" dimensionUniqueName="[Expenses_Table]" displayFolder="" count="0" memberValueDatatype="130" unbalanced="0"/>
    <cacheHierarchy uniqueName="[Expenses_Table].[Amount]" caption="Amount" attribute="1" defaultMemberUniqueName="[Expenses_Table].[Amount].[All]" allUniqueName="[Expenses_Table].[Amount].[All]" dimensionUniqueName="[Expenses_Table]" displayFolder="" count="0" memberValueDatatype="5" unbalanced="0"/>
    <cacheHierarchy uniqueName="[Expenses_Table].[Notes]" caption="Notes" attribute="1" defaultMemberUniqueName="[Expenses_Table].[Notes].[All]" allUniqueName="[Expenses_Table].[Notes].[All]" dimensionUniqueName="[Expenses_Table]" displayFolder="" count="0" memberValueDatatype="130" unbalanced="0"/>
    <cacheHierarchy uniqueName="[Expenses_Table].[Month]" caption="Month" attribute="1" defaultMemberUniqueName="[Expenses_Table].[Month].[All]" allUniqueName="[Expenses_Table].[Month].[All]" dimensionUniqueName="[Expenses_Table]" displayFolder="" count="2" memberValueDatatype="130" unbalanced="0">
      <fieldsUsage count="2">
        <fieldUsage x="-1"/>
        <fieldUsage x="2"/>
      </fieldsUsage>
    </cacheHierarchy>
    <cacheHierarchy uniqueName="[Expenses_Table].[Year]" caption="Year" attribute="1" defaultMemberUniqueName="[Expenses_Table].[Year].[All]" allUniqueName="[Expenses_Table].[Year].[All]" dimensionUniqueName="[Expenses_Table]" displayFolder="" count="2" memberValueDatatype="20" unbalanced="0"/>
    <cacheHierarchy uniqueName="[Measures].[__XL_Count Expenses_Table]" caption="__XL_Count Expenses_Table" measure="1" displayFolder="" measureGroup="Expenses_Table" count="0" hidden="1"/>
    <cacheHierarchy uniqueName="[Measures].[__No measures defined]" caption="__No measures defined" measure="1" displayFolder="" count="0" hidden="1"/>
    <cacheHierarchy uniqueName="[Measures].[Sum of Amount]" caption="Sum of Amount" measure="1" displayFolder="" measureGroup="Expenses_Table"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Year]" caption="Sum of Year" measure="1" displayFolder="" measureGroup="Expenses_Table" count="0" hidden="1">
      <extLst>
        <ext xmlns:x15="http://schemas.microsoft.com/office/spreadsheetml/2010/11/main" uri="{B97F6D7D-B522-45F9-BDA1-12C45D357490}">
          <x15:cacheHierarchy aggregatedColumn="6"/>
        </ext>
      </extLst>
    </cacheHierarchy>
  </cacheHierarchies>
  <kpis count="0"/>
  <dimensions count="2">
    <dimension name="Expenses_Table" uniqueName="[Expenses_Table]" caption="Expenses_Table"/>
    <dimension measure="1" name="Measures" uniqueName="[Measures]" caption="Measures"/>
  </dimensions>
  <measureGroups count="1">
    <measureGroup name="Expenses_Table" caption="Expenses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7.408753009258" backgroundQuery="1" createdVersion="8" refreshedVersion="8" minRefreshableVersion="3" recordCount="0" supportSubquery="1" supportAdvancedDrill="1" xr:uid="{2DBA2816-A9EC-4E16-9DF7-49122FDEB839}">
  <cacheSource type="external" connectionId="2"/>
  <cacheFields count="3">
    <cacheField name="[Expenses_Table].[Month].[Month]" caption="Month" numFmtId="0" hierarchy="5" level="1">
      <sharedItems count="3">
        <s v="February"/>
        <s v="January"/>
        <s v="March"/>
      </sharedItems>
    </cacheField>
    <cacheField name="[Expenses_Table].[Site].[Site]" caption="Site" numFmtId="0" hierarchy="1" level="1">
      <sharedItems count="3">
        <s v="Site A"/>
        <s v="Site B"/>
        <s v="Site C"/>
      </sharedItems>
    </cacheField>
    <cacheField name="[Measures].[Sum of Amount]" caption="Sum of Amount" numFmtId="0" hierarchy="9" level="32767"/>
  </cacheFields>
  <cacheHierarchies count="11">
    <cacheHierarchy uniqueName="[Expenses_Table].[Date]" caption="Date" attribute="1" time="1" defaultMemberUniqueName="[Expenses_Table].[Date].[All]" allUniqueName="[Expenses_Table].[Date].[All]" dimensionUniqueName="[Expenses_Table]" displayFolder="" count="0" memberValueDatatype="7" unbalanced="0"/>
    <cacheHierarchy uniqueName="[Expenses_Table].[Site]" caption="Site" attribute="1" defaultMemberUniqueName="[Expenses_Table].[Site].[All]" allUniqueName="[Expenses_Table].[Site].[All]" dimensionUniqueName="[Expenses_Table]" displayFolder="" count="2" memberValueDatatype="130" unbalanced="0">
      <fieldsUsage count="2">
        <fieldUsage x="-1"/>
        <fieldUsage x="1"/>
      </fieldsUsage>
    </cacheHierarchy>
    <cacheHierarchy uniqueName="[Expenses_Table].[Expense_Type]" caption="Expense_Type" attribute="1" defaultMemberUniqueName="[Expenses_Table].[Expense_Type].[All]" allUniqueName="[Expenses_Table].[Expense_Type].[All]" dimensionUniqueName="[Expenses_Table]" displayFolder="" count="0" memberValueDatatype="130" unbalanced="0"/>
    <cacheHierarchy uniqueName="[Expenses_Table].[Amount]" caption="Amount" attribute="1" defaultMemberUniqueName="[Expenses_Table].[Amount].[All]" allUniqueName="[Expenses_Table].[Amount].[All]" dimensionUniqueName="[Expenses_Table]" displayFolder="" count="0" memberValueDatatype="5" unbalanced="0"/>
    <cacheHierarchy uniqueName="[Expenses_Table].[Notes]" caption="Notes" attribute="1" defaultMemberUniqueName="[Expenses_Table].[Notes].[All]" allUniqueName="[Expenses_Table].[Notes].[All]" dimensionUniqueName="[Expenses_Table]" displayFolder="" count="0" memberValueDatatype="130" unbalanced="0"/>
    <cacheHierarchy uniqueName="[Expenses_Table].[Month]" caption="Month" attribute="1" defaultMemberUniqueName="[Expenses_Table].[Month].[All]" allUniqueName="[Expenses_Table].[Month].[All]" dimensionUniqueName="[Expenses_Table]" displayFolder="" count="2" memberValueDatatype="130" unbalanced="0">
      <fieldsUsage count="2">
        <fieldUsage x="-1"/>
        <fieldUsage x="0"/>
      </fieldsUsage>
    </cacheHierarchy>
    <cacheHierarchy uniqueName="[Expenses_Table].[Year]" caption="Year" attribute="1" defaultMemberUniqueName="[Expenses_Table].[Year].[All]" allUniqueName="[Expenses_Table].[Year].[All]" dimensionUniqueName="[Expenses_Table]" displayFolder="" count="2" memberValueDatatype="20" unbalanced="0"/>
    <cacheHierarchy uniqueName="[Measures].[__XL_Count Expenses_Table]" caption="__XL_Count Expenses_Table" measure="1" displayFolder="" measureGroup="Expenses_Table" count="0" hidden="1"/>
    <cacheHierarchy uniqueName="[Measures].[__No measures defined]" caption="__No measures defined" measure="1" displayFolder="" count="0" hidden="1"/>
    <cacheHierarchy uniqueName="[Measures].[Sum of Amount]" caption="Sum of Amount" measure="1" displayFolder="" measureGroup="Expenses_Table"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Year]" caption="Sum of Year" measure="1" displayFolder="" measureGroup="Expenses_Table" count="0" hidden="1">
      <extLst>
        <ext xmlns:x15="http://schemas.microsoft.com/office/spreadsheetml/2010/11/main" uri="{B97F6D7D-B522-45F9-BDA1-12C45D357490}">
          <x15:cacheHierarchy aggregatedColumn="6"/>
        </ext>
      </extLst>
    </cacheHierarchy>
  </cacheHierarchies>
  <kpis count="0"/>
  <dimensions count="2">
    <dimension name="Expenses_Table" uniqueName="[Expenses_Table]" caption="Expenses_Table"/>
    <dimension measure="1" name="Measures" uniqueName="[Measures]" caption="Measures"/>
  </dimensions>
  <measureGroups count="1">
    <measureGroup name="Expenses_Table" caption="Expenses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7.40875347222" backgroundQuery="1" createdVersion="8" refreshedVersion="8" minRefreshableVersion="3" recordCount="0" supportSubquery="1" supportAdvancedDrill="1" xr:uid="{AAB5F8EE-9A4B-4535-8389-06C09D8440D4}">
  <cacheSource type="external" connectionId="2"/>
  <cacheFields count="3">
    <cacheField name="[Expenses_Table].[Year].[Year]" caption="Year" numFmtId="0" hierarchy="6" level="1">
      <sharedItems containsSemiMixedTypes="0" containsString="0" containsNumber="1" containsInteger="1" minValue="2023" maxValue="2026" count="4">
        <n v="2023"/>
        <n v="2024"/>
        <n v="2025"/>
        <n v="2026"/>
      </sharedItems>
      <extLst>
        <ext xmlns:x15="http://schemas.microsoft.com/office/spreadsheetml/2010/11/main" uri="{4F2E5C28-24EA-4eb8-9CBF-B6C8F9C3D259}">
          <x15:cachedUniqueNames>
            <x15:cachedUniqueName index="0" name="[Expenses_Table].[Year].&amp;[2023]"/>
            <x15:cachedUniqueName index="1" name="[Expenses_Table].[Year].&amp;[2024]"/>
            <x15:cachedUniqueName index="2" name="[Expenses_Table].[Year].&amp;[2025]"/>
            <x15:cachedUniqueName index="3" name="[Expenses_Table].[Year].&amp;[2026]"/>
          </x15:cachedUniqueNames>
        </ext>
      </extLst>
    </cacheField>
    <cacheField name="[Measures].[Sum of Amount]" caption="Sum of Amount" numFmtId="0" hierarchy="9" level="32767"/>
    <cacheField name="[Expenses_Table].[Month].[Month]" caption="Month" numFmtId="0" hierarchy="5" level="1">
      <sharedItems containsSemiMixedTypes="0" containsNonDate="0" containsString="0"/>
    </cacheField>
  </cacheFields>
  <cacheHierarchies count="11">
    <cacheHierarchy uniqueName="[Expenses_Table].[Date]" caption="Date" attribute="1" time="1" defaultMemberUniqueName="[Expenses_Table].[Date].[All]" allUniqueName="[Expenses_Table].[Date].[All]" dimensionUniqueName="[Expenses_Table]" displayFolder="" count="0" memberValueDatatype="7" unbalanced="0"/>
    <cacheHierarchy uniqueName="[Expenses_Table].[Site]" caption="Site" attribute="1" defaultMemberUniqueName="[Expenses_Table].[Site].[All]" allUniqueName="[Expenses_Table].[Site].[All]" dimensionUniqueName="[Expenses_Table]" displayFolder="" count="2" memberValueDatatype="130" unbalanced="0"/>
    <cacheHierarchy uniqueName="[Expenses_Table].[Expense_Type]" caption="Expense_Type" attribute="1" defaultMemberUniqueName="[Expenses_Table].[Expense_Type].[All]" allUniqueName="[Expenses_Table].[Expense_Type].[All]" dimensionUniqueName="[Expenses_Table]" displayFolder="" count="0" memberValueDatatype="130" unbalanced="0"/>
    <cacheHierarchy uniqueName="[Expenses_Table].[Amount]" caption="Amount" attribute="1" defaultMemberUniqueName="[Expenses_Table].[Amount].[All]" allUniqueName="[Expenses_Table].[Amount].[All]" dimensionUniqueName="[Expenses_Table]" displayFolder="" count="0" memberValueDatatype="5" unbalanced="0"/>
    <cacheHierarchy uniqueName="[Expenses_Table].[Notes]" caption="Notes" attribute="1" defaultMemberUniqueName="[Expenses_Table].[Notes].[All]" allUniqueName="[Expenses_Table].[Notes].[All]" dimensionUniqueName="[Expenses_Table]" displayFolder="" count="0" memberValueDatatype="130" unbalanced="0"/>
    <cacheHierarchy uniqueName="[Expenses_Table].[Month]" caption="Month" attribute="1" defaultMemberUniqueName="[Expenses_Table].[Month].[All]" allUniqueName="[Expenses_Table].[Month].[All]" dimensionUniqueName="[Expenses_Table]" displayFolder="" count="2" memberValueDatatype="130" unbalanced="0">
      <fieldsUsage count="2">
        <fieldUsage x="-1"/>
        <fieldUsage x="2"/>
      </fieldsUsage>
    </cacheHierarchy>
    <cacheHierarchy uniqueName="[Expenses_Table].[Year]" caption="Year" attribute="1" defaultMemberUniqueName="[Expenses_Table].[Year].[All]" allUniqueName="[Expenses_Table].[Year].[All]" dimensionUniqueName="[Expenses_Table]" displayFolder="" count="2" memberValueDatatype="20" unbalanced="0">
      <fieldsUsage count="2">
        <fieldUsage x="-1"/>
        <fieldUsage x="0"/>
      </fieldsUsage>
    </cacheHierarchy>
    <cacheHierarchy uniqueName="[Measures].[__XL_Count Expenses_Table]" caption="__XL_Count Expenses_Table" measure="1" displayFolder="" measureGroup="Expenses_Table" count="0" hidden="1"/>
    <cacheHierarchy uniqueName="[Measures].[__No measures defined]" caption="__No measures defined" measure="1" displayFolder="" count="0" hidden="1"/>
    <cacheHierarchy uniqueName="[Measures].[Sum of Amount]" caption="Sum of Amount" measure="1" displayFolder="" measureGroup="Expenses_Table"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Year]" caption="Sum of Year" measure="1" displayFolder="" measureGroup="Expenses_Table" count="0" hidden="1">
      <extLst>
        <ext xmlns:x15="http://schemas.microsoft.com/office/spreadsheetml/2010/11/main" uri="{B97F6D7D-B522-45F9-BDA1-12C45D357490}">
          <x15:cacheHierarchy aggregatedColumn="6"/>
        </ext>
      </extLst>
    </cacheHierarchy>
  </cacheHierarchies>
  <kpis count="0"/>
  <dimensions count="2">
    <dimension name="Expenses_Table" uniqueName="[Expenses_Table]" caption="Expenses_Table"/>
    <dimension measure="1" name="Measures" uniqueName="[Measures]" caption="Measures"/>
  </dimensions>
  <measureGroups count="1">
    <measureGroup name="Expenses_Table" caption="Expenses_Table"/>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057.400679745369" backgroundQuery="1" createdVersion="3" refreshedVersion="8" minRefreshableVersion="3" recordCount="0" supportSubquery="1" supportAdvancedDrill="1" xr:uid="{075FADE7-5EA3-48C4-9825-3D9C1FD99DD4}">
  <cacheSource type="external" connectionId="2">
    <extLst>
      <ext xmlns:x14="http://schemas.microsoft.com/office/spreadsheetml/2009/9/main" uri="{F057638F-6D5F-4e77-A914-E7F072B9BCA8}">
        <x14:sourceConnection name="ThisWorkbookDataModel"/>
      </ext>
    </extLst>
  </cacheSource>
  <cacheFields count="0"/>
  <cacheHierarchies count="11">
    <cacheHierarchy uniqueName="[Expenses_Table].[Date]" caption="Date" attribute="1" time="1" defaultMemberUniqueName="[Expenses_Table].[Date].[All]" allUniqueName="[Expenses_Table].[Date].[All]" dimensionUniqueName="[Expenses_Table]" displayFolder="" count="0" memberValueDatatype="7" unbalanced="0"/>
    <cacheHierarchy uniqueName="[Expenses_Table].[Site]" caption="Site" attribute="1" defaultMemberUniqueName="[Expenses_Table].[Site].[All]" allUniqueName="[Expenses_Table].[Site].[All]" dimensionUniqueName="[Expenses_Table]" displayFolder="" count="2" memberValueDatatype="130" unbalanced="0"/>
    <cacheHierarchy uniqueName="[Expenses_Table].[Expense_Type]" caption="Expense_Type" attribute="1" defaultMemberUniqueName="[Expenses_Table].[Expense_Type].[All]" allUniqueName="[Expenses_Table].[Expense_Type].[All]" dimensionUniqueName="[Expenses_Table]" displayFolder="" count="0" memberValueDatatype="130" unbalanced="0"/>
    <cacheHierarchy uniqueName="[Expenses_Table].[Amount]" caption="Amount" attribute="1" defaultMemberUniqueName="[Expenses_Table].[Amount].[All]" allUniqueName="[Expenses_Table].[Amount].[All]" dimensionUniqueName="[Expenses_Table]" displayFolder="" count="0" memberValueDatatype="5" unbalanced="0"/>
    <cacheHierarchy uniqueName="[Expenses_Table].[Notes]" caption="Notes" attribute="1" defaultMemberUniqueName="[Expenses_Table].[Notes].[All]" allUniqueName="[Expenses_Table].[Notes].[All]" dimensionUniqueName="[Expenses_Table]" displayFolder="" count="0" memberValueDatatype="130" unbalanced="0"/>
    <cacheHierarchy uniqueName="[Expenses_Table].[Month]" caption="Month" attribute="1" defaultMemberUniqueName="[Expenses_Table].[Month].[All]" allUniqueName="[Expenses_Table].[Month].[All]" dimensionUniqueName="[Expenses_Table]" displayFolder="" count="2" memberValueDatatype="130" unbalanced="0"/>
    <cacheHierarchy uniqueName="[Expenses_Table].[Year]" caption="Year" attribute="1" defaultMemberUniqueName="[Expenses_Table].[Year].[All]" allUniqueName="[Expenses_Table].[Year].[All]" dimensionUniqueName="[Expenses_Table]" displayFolder="" count="2" memberValueDatatype="20" unbalanced="0"/>
    <cacheHierarchy uniqueName="[Measures].[__XL_Count Expenses_Table]" caption="__XL_Count Expenses_Table" measure="1" displayFolder="" measureGroup="Expenses_Table" count="0" hidden="1"/>
    <cacheHierarchy uniqueName="[Measures].[__No measures defined]" caption="__No measures defined" measure="1" displayFolder="" count="0" hidden="1"/>
    <cacheHierarchy uniqueName="[Measures].[Sum of Amount]" caption="Sum of Amount" measure="1" displayFolder="" measureGroup="Expenses_Table" count="0" hidden="1">
      <extLst>
        <ext xmlns:x15="http://schemas.microsoft.com/office/spreadsheetml/2010/11/main" uri="{B97F6D7D-B522-45F9-BDA1-12C45D357490}">
          <x15:cacheHierarchy aggregatedColumn="3"/>
        </ext>
      </extLst>
    </cacheHierarchy>
    <cacheHierarchy uniqueName="[Measures].[Sum of Year]" caption="Sum of Year" measure="1" displayFolder="" measureGroup="Expenses_Table" count="0" hidden="1">
      <extLst>
        <ext xmlns:x15="http://schemas.microsoft.com/office/spreadsheetml/2010/11/main" uri="{B97F6D7D-B522-45F9-BDA1-12C45D357490}">
          <x15:cacheHierarchy aggregatedColumn="6"/>
        </ext>
      </extLst>
    </cacheHierarchy>
  </cacheHierarchies>
  <kpis count="0"/>
  <extLst>
    <ext xmlns:x14="http://schemas.microsoft.com/office/spreadsheetml/2009/9/main" uri="{725AE2AE-9491-48be-B2B4-4EB974FC3084}">
      <x14:pivotCacheDefinition slicerData="1" pivotCacheId="57034639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5A31C6B-77A6-412A-B7DC-55F038CAF8D2}" name="Pivot_Total_Per_Site"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A1:B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Amount" fld="1" baseField="0" baseItem="0"/>
  </dataField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7" format="13" series="1">
      <pivotArea type="data" outline="0" fieldPosition="0">
        <references count="1">
          <reference field="4294967294" count="1" selected="0">
            <x v="0"/>
          </reference>
        </references>
      </pivotArea>
    </chartFormat>
    <chartFormat chart="17" format="14">
      <pivotArea type="data" outline="0" fieldPosition="0">
        <references count="2">
          <reference field="4294967294" count="1" selected="0">
            <x v="0"/>
          </reference>
          <reference field="0" count="1" selected="0">
            <x v="0"/>
          </reference>
        </references>
      </pivotArea>
    </chartFormat>
    <chartFormat chart="17" format="15">
      <pivotArea type="data" outline="0" fieldPosition="0">
        <references count="2">
          <reference field="4294967294" count="1" selected="0">
            <x v="0"/>
          </reference>
          <reference field="0" count="1" selected="0">
            <x v="1"/>
          </reference>
        </references>
      </pivotArea>
    </chartFormat>
    <chartFormat chart="17" format="16">
      <pivotArea type="data" outline="0" fieldPosition="0">
        <references count="2">
          <reference field="4294967294" count="1" selected="0">
            <x v="0"/>
          </reference>
          <reference field="0" count="1" selected="0">
            <x v="2"/>
          </reference>
        </references>
      </pivotArea>
    </chartFormat>
  </chartFormats>
  <pivotHierarchies count="1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Expenses_Table">
        <x15:activeTabTopLevelEntity name="[Expens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61F089-0F64-4895-B478-1CA48B8529C0}" name="Pivot_Yearly"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35:B40"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Amount" fld="1"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1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penses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E087A8-C7DD-4EDC-A09C-177DFABC8927}" name="Pivot_Monthly"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15:E20" firstHeaderRow="1" firstDataRow="2" firstDataCol="1"/>
  <pivotFields count="3">
    <pivotField axis="axisRow" allDrilled="1" subtotalTop="0" showAll="0" nonAutoSortDefault="1" defaultSubtotal="0" defaultAttributeDrillState="1">
      <items count="3">
        <item x="1"/>
        <item x="0"/>
        <item x="2"/>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Fields count="1">
    <field x="1"/>
  </colFields>
  <colItems count="4">
    <i>
      <x/>
    </i>
    <i>
      <x v="1"/>
    </i>
    <i>
      <x v="2"/>
    </i>
    <i t="grand">
      <x/>
    </i>
  </colItems>
  <dataFields count="1">
    <dataField name="Sum of Amount" fld="2" baseField="0" baseItem="0"/>
  </dataFields>
  <chartFormats count="1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2">
          <reference field="4294967294" count="1" selected="0">
            <x v="0"/>
          </reference>
          <reference field="0" count="1" selected="0">
            <x v="0"/>
          </reference>
        </references>
      </pivotArea>
    </chartFormat>
    <chartFormat chart="0" format="5" series="1">
      <pivotArea type="data" outline="0" fieldPosition="0">
        <references count="2">
          <reference field="4294967294" count="1" selected="0">
            <x v="0"/>
          </reference>
          <reference field="0" count="1" selected="0">
            <x v="2"/>
          </reference>
        </references>
      </pivotArea>
    </chartFormat>
    <chartFormat chart="0" format="6" series="1">
      <pivotArea type="data" outline="0" fieldPosition="0">
        <references count="2">
          <reference field="4294967294" count="1" selected="0">
            <x v="0"/>
          </reference>
          <reference field="0" count="1" selected="0">
            <x v="1"/>
          </reference>
        </references>
      </pivotArea>
    </chartFormat>
    <chartFormat chart="6" format="14" series="1">
      <pivotArea type="data" outline="0" fieldPosition="0">
        <references count="2">
          <reference field="4294967294" count="1" selected="0">
            <x v="0"/>
          </reference>
          <reference field="1" count="1" selected="0">
            <x v="0"/>
          </reference>
        </references>
      </pivotArea>
    </chartFormat>
    <chartFormat chart="6" format="15" series="1">
      <pivotArea type="data" outline="0" fieldPosition="0">
        <references count="2">
          <reference field="4294967294" count="1" selected="0">
            <x v="0"/>
          </reference>
          <reference field="1" count="1" selected="0">
            <x v="1"/>
          </reference>
        </references>
      </pivotArea>
    </chartFormat>
    <chartFormat chart="6" format="16" series="1">
      <pivotArea type="data" outline="0" fieldPosition="0">
        <references count="2">
          <reference field="4294967294" count="1" selected="0">
            <x v="0"/>
          </reference>
          <reference field="1" count="1" selected="0">
            <x v="2"/>
          </reference>
        </references>
      </pivotArea>
    </chartFormat>
  </chartFormats>
  <pivotHierarchies count="1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xpenses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D7BD449-61AB-40DA-8C14-44248B180A0B}" sourceName="[Expenses_Table].[Month]">
  <pivotTables>
    <pivotTable tabId="5" name="Pivot_Total_Per_Site"/>
    <pivotTable tabId="5" name="Pivot_Monthly"/>
    <pivotTable tabId="5" name="Pivot_Yearly"/>
  </pivotTables>
  <data>
    <olap pivotCacheId="570346395">
      <levels count="2">
        <level uniqueName="[Expenses_Table].[Month].[(All)]" sourceCaption="(All)" count="0"/>
        <level uniqueName="[Expenses_Table].[Month].[Month]" sourceCaption="Month" count="3">
          <ranges>
            <range startItem="0">
              <i n="[Expenses_Table].[Month].&amp;[February]" c="February"/>
              <i n="[Expenses_Table].[Month].&amp;[January]" c="January"/>
              <i n="[Expenses_Table].[Month].&amp;[March]" c="March"/>
            </range>
          </ranges>
        </level>
      </levels>
      <selections count="1">
        <selection n="[Expenses_Table].[Month].[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te" xr10:uid="{5497F706-034F-4EE2-ABCD-41327F8197A5}" sourceName="[Expenses_Table].[Site]">
  <pivotTables>
    <pivotTable tabId="5" name="Pivot_Total_Per_Site"/>
    <pivotTable tabId="5" name="Pivot_Monthly"/>
    <pivotTable tabId="5" name="Pivot_Yearly"/>
  </pivotTables>
  <data>
    <olap pivotCacheId="570346395">
      <levels count="2">
        <level uniqueName="[Expenses_Table].[Site].[(All)]" sourceCaption="(All)" count="0"/>
        <level uniqueName="[Expenses_Table].[Site].[Site]" sourceCaption="Site" count="3">
          <ranges>
            <range startItem="0">
              <i n="[Expenses_Table].[Site].&amp;[Site A]" c="Site A"/>
              <i n="[Expenses_Table].[Site].&amp;[Site B]" c="Site B"/>
              <i n="[Expenses_Table].[Site].&amp;[Site C]" c="Site C"/>
            </range>
          </ranges>
        </level>
      </levels>
      <selections count="1">
        <selection n="[Expenses_Table].[Sit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982AC68-FBA3-4552-A1B2-6CD709D700EA}" sourceName="[Expenses_Table].[Year]">
  <pivotTables>
    <pivotTable tabId="5" name="Pivot_Total_Per_Site"/>
    <pivotTable tabId="5" name="Pivot_Monthly"/>
    <pivotTable tabId="5" name="Pivot_Yearly"/>
  </pivotTables>
  <data>
    <olap pivotCacheId="570346395">
      <levels count="2">
        <level uniqueName="[Expenses_Table].[Year].[(All)]" sourceCaption="(All)" count="0"/>
        <level uniqueName="[Expenses_Table].[Year].[Year]" sourceCaption="Year" count="4">
          <ranges>
            <range startItem="0">
              <i n="[Expenses_Table].[Year].&amp;[2023]" c="2023"/>
              <i n="[Expenses_Table].[Year].&amp;[2024]" c="2024"/>
              <i n="[Expenses_Table].[Year].&amp;[2025]" c="2025"/>
              <i n="[Expenses_Table].[Year].&amp;[2026]" c="2026"/>
            </range>
          </ranges>
        </level>
      </levels>
      <selections count="1">
        <selection n="[Expenses_Table].[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CF7498D-861B-4D15-9465-D7EDFEB68B6F}" cache="Slicer_Month" caption="Month" level="1" rowHeight="234950"/>
  <slicer name="Site" xr10:uid="{2D82288B-04CA-45D7-9E96-DE97DD16A1C6}" cache="Slicer_Site" caption="Site" level="1" rowHeight="234950"/>
  <slicer name="Year" xr10:uid="{C6705D63-AFFD-48B6-B1B9-D9859226AD6C}" cache="Slicer_Year" caption="Year" level="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1FE0E0-B283-4A11-8EC1-4D458F25D570}" name="Expenses_Table" displayName="Expenses_Table" ref="A1:E10" totalsRowShown="0">
  <autoFilter ref="A1:E10" xr:uid="{901FE0E0-B283-4A11-8EC1-4D458F25D570}"/>
  <tableColumns count="5">
    <tableColumn id="1" xr3:uid="{ECF7D1C5-4F14-4BB4-B4EB-1A5D93A6E7C3}" name="Date"/>
    <tableColumn id="2" xr3:uid="{C38EB531-CB8D-4E97-A205-CD537D075F59}" name="Site"/>
    <tableColumn id="3" xr3:uid="{05767DDB-7D49-4775-8FBE-3A163A64738E}" name="Expense_Type"/>
    <tableColumn id="4" xr3:uid="{8A932F87-8450-4F42-AA4E-854D0820BC14}" name="Amount"/>
    <tableColumn id="5" xr3:uid="{FDC347C4-6FB1-4802-B7E6-7EDC8CE952FC}"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332F8A8-1333-4541-AEB9-C12306A05374}" name="Sites_Table" displayName="Sites_Table" ref="A1:A4" totalsRowShown="0">
  <autoFilter ref="A1:A4" xr:uid="{7332F8A8-1333-4541-AEB9-C12306A05374}"/>
  <tableColumns count="1">
    <tableColumn id="1" xr3:uid="{36A183FD-3BA4-4D09-8FE1-58F5A53813F2}" name="Site_Nam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6DB1AE7-4702-4EE9-8C27-7A5F9B5C2448}" name="Expense_Types_Table" displayName="Expense_Types_Table" ref="A1:A6" totalsRowShown="0">
  <autoFilter ref="A1:A6" xr:uid="{36DB1AE7-4702-4EE9-8C27-7A5F9B5C2448}"/>
  <tableColumns count="1">
    <tableColumn id="1" xr3:uid="{EFCE0BC8-896F-4DCF-93D3-A289E968B585}" name="Expense_Typ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EAAE6-77D9-44E4-8E0D-7C2EE25CCFFD}">
  <dimension ref="A1:E10"/>
  <sheetViews>
    <sheetView zoomScaleNormal="100" workbookViewId="0">
      <selection activeCell="F4" sqref="F4"/>
    </sheetView>
  </sheetViews>
  <sheetFormatPr defaultRowHeight="14.4" x14ac:dyDescent="0.3"/>
  <cols>
    <col min="1" max="1" width="9.5546875" bestFit="1" customWidth="1"/>
    <col min="3" max="3" width="14.88671875" customWidth="1"/>
    <col min="4" max="4" width="9.77734375" customWidth="1"/>
  </cols>
  <sheetData>
    <row r="1" spans="1:5" x14ac:dyDescent="0.3">
      <c r="A1" t="s">
        <v>0</v>
      </c>
      <c r="B1" t="s">
        <v>1</v>
      </c>
      <c r="C1" t="s">
        <v>2</v>
      </c>
      <c r="D1" t="s">
        <v>3</v>
      </c>
      <c r="E1" t="s">
        <v>4</v>
      </c>
    </row>
    <row r="2" spans="1:5" x14ac:dyDescent="0.3">
      <c r="A2" s="3">
        <v>44927</v>
      </c>
      <c r="B2" t="s">
        <v>5</v>
      </c>
      <c r="C2" t="s">
        <v>8</v>
      </c>
      <c r="D2">
        <v>1000</v>
      </c>
      <c r="E2" t="s">
        <v>18</v>
      </c>
    </row>
    <row r="3" spans="1:5" x14ac:dyDescent="0.3">
      <c r="A3" s="3">
        <v>45293</v>
      </c>
      <c r="B3" t="s">
        <v>6</v>
      </c>
      <c r="C3" t="s">
        <v>9</v>
      </c>
      <c r="D3">
        <v>2000</v>
      </c>
      <c r="E3" t="s">
        <v>18</v>
      </c>
    </row>
    <row r="4" spans="1:5" x14ac:dyDescent="0.3">
      <c r="A4" s="3">
        <v>45325</v>
      </c>
      <c r="B4" t="s">
        <v>7</v>
      </c>
      <c r="C4" t="s">
        <v>10</v>
      </c>
      <c r="D4">
        <v>500</v>
      </c>
      <c r="E4" t="s">
        <v>18</v>
      </c>
    </row>
    <row r="5" spans="1:5" x14ac:dyDescent="0.3">
      <c r="A5" s="3">
        <v>45692</v>
      </c>
      <c r="B5" t="s">
        <v>5</v>
      </c>
      <c r="C5" t="s">
        <v>11</v>
      </c>
      <c r="D5">
        <v>300</v>
      </c>
      <c r="E5" t="s">
        <v>18</v>
      </c>
    </row>
    <row r="6" spans="1:5" x14ac:dyDescent="0.3">
      <c r="A6" s="3">
        <v>45721</v>
      </c>
      <c r="B6" t="s">
        <v>6</v>
      </c>
      <c r="C6" t="s">
        <v>8</v>
      </c>
      <c r="D6">
        <v>1200</v>
      </c>
      <c r="E6" t="s">
        <v>18</v>
      </c>
    </row>
    <row r="7" spans="1:5" x14ac:dyDescent="0.3">
      <c r="A7" s="3">
        <v>45722</v>
      </c>
      <c r="B7" t="s">
        <v>7</v>
      </c>
      <c r="C7" t="s">
        <v>9</v>
      </c>
      <c r="D7">
        <v>2500</v>
      </c>
      <c r="E7" t="s">
        <v>18</v>
      </c>
    </row>
    <row r="8" spans="1:5" x14ac:dyDescent="0.3">
      <c r="A8" s="3">
        <v>46028</v>
      </c>
      <c r="B8" t="s">
        <v>5</v>
      </c>
      <c r="C8" t="s">
        <v>10</v>
      </c>
      <c r="D8">
        <v>1000</v>
      </c>
      <c r="E8" t="s">
        <v>18</v>
      </c>
    </row>
    <row r="9" spans="1:5" x14ac:dyDescent="0.3">
      <c r="A9" s="3">
        <v>46027</v>
      </c>
      <c r="B9" t="s">
        <v>6</v>
      </c>
      <c r="C9" t="s">
        <v>12</v>
      </c>
      <c r="D9">
        <v>2000</v>
      </c>
      <c r="E9" t="s">
        <v>18</v>
      </c>
    </row>
    <row r="10" spans="1:5" x14ac:dyDescent="0.3">
      <c r="A10" s="3">
        <v>46059</v>
      </c>
      <c r="B10" t="s">
        <v>7</v>
      </c>
      <c r="C10" t="s">
        <v>9</v>
      </c>
      <c r="D10">
        <v>500</v>
      </c>
      <c r="E10" t="s">
        <v>18</v>
      </c>
    </row>
  </sheetData>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E47EDEB7-0D56-49A0-92BF-5C568089EB9F}">
          <x14:formula1>
            <xm:f>Sites!$A$2:$A$4</xm:f>
          </x14:formula1>
          <xm:sqref>B1:B1048576</xm:sqref>
        </x14:dataValidation>
        <x14:dataValidation type="list" allowBlank="1" showInputMessage="1" showErrorMessage="1" xr:uid="{AC562744-8B53-442B-936F-74FFB5BC26AE}">
          <x14:formula1>
            <xm:f>Expense_Types!$A$2:$A$6</xm:f>
          </x14:formula1>
          <xm:sqref>C1:C1048576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89138-D21A-4D94-8271-E96137E3DD23}">
  <dimension ref="A1:E40"/>
  <sheetViews>
    <sheetView topLeftCell="A19" workbookViewId="0">
      <selection activeCell="D39" sqref="D39"/>
    </sheetView>
  </sheetViews>
  <sheetFormatPr defaultRowHeight="14.4" x14ac:dyDescent="0.3"/>
  <cols>
    <col min="1" max="1" width="12.5546875" bestFit="1" customWidth="1"/>
    <col min="2" max="2" width="14.44140625" bestFit="1" customWidth="1"/>
    <col min="3" max="3" width="5.6640625" bestFit="1" customWidth="1"/>
    <col min="4" max="4" width="11.5546875" customWidth="1"/>
    <col min="5" max="5" width="10.77734375" bestFit="1" customWidth="1"/>
    <col min="6" max="6" width="14.44140625" bestFit="1" customWidth="1"/>
    <col min="7" max="7" width="21.44140625" bestFit="1" customWidth="1"/>
    <col min="8" max="8" width="19.21875" bestFit="1" customWidth="1"/>
    <col min="9" max="9" width="26.21875" bestFit="1" customWidth="1"/>
  </cols>
  <sheetData>
    <row r="1" spans="1:5" x14ac:dyDescent="0.3">
      <c r="A1" s="1" t="s">
        <v>14</v>
      </c>
      <c r="B1" t="s">
        <v>16</v>
      </c>
    </row>
    <row r="2" spans="1:5" x14ac:dyDescent="0.3">
      <c r="A2" s="2" t="s">
        <v>5</v>
      </c>
      <c r="B2">
        <v>2300</v>
      </c>
    </row>
    <row r="3" spans="1:5" x14ac:dyDescent="0.3">
      <c r="A3" s="2" t="s">
        <v>6</v>
      </c>
      <c r="B3">
        <v>5200</v>
      </c>
    </row>
    <row r="4" spans="1:5" x14ac:dyDescent="0.3">
      <c r="A4" s="2" t="s">
        <v>7</v>
      </c>
      <c r="B4">
        <v>3500</v>
      </c>
    </row>
    <row r="5" spans="1:5" x14ac:dyDescent="0.3">
      <c r="A5" s="2" t="s">
        <v>15</v>
      </c>
      <c r="B5">
        <v>11000</v>
      </c>
    </row>
    <row r="15" spans="1:5" x14ac:dyDescent="0.3">
      <c r="A15" s="1" t="s">
        <v>16</v>
      </c>
      <c r="B15" s="1" t="s">
        <v>17</v>
      </c>
    </row>
    <row r="16" spans="1:5" x14ac:dyDescent="0.3">
      <c r="A16" s="1" t="s">
        <v>14</v>
      </c>
      <c r="B16" t="s">
        <v>5</v>
      </c>
      <c r="C16" t="s">
        <v>6</v>
      </c>
      <c r="D16" t="s">
        <v>7</v>
      </c>
      <c r="E16" t="s">
        <v>15</v>
      </c>
    </row>
    <row r="17" spans="1:5" x14ac:dyDescent="0.3">
      <c r="A17" s="2" t="s">
        <v>19</v>
      </c>
      <c r="B17">
        <v>2000</v>
      </c>
      <c r="C17">
        <v>4000</v>
      </c>
      <c r="E17">
        <v>6000</v>
      </c>
    </row>
    <row r="18" spans="1:5" x14ac:dyDescent="0.3">
      <c r="A18" s="2" t="s">
        <v>20</v>
      </c>
      <c r="B18">
        <v>300</v>
      </c>
      <c r="D18">
        <v>1000</v>
      </c>
      <c r="E18">
        <v>1300</v>
      </c>
    </row>
    <row r="19" spans="1:5" x14ac:dyDescent="0.3">
      <c r="A19" s="2" t="s">
        <v>21</v>
      </c>
      <c r="C19">
        <v>1200</v>
      </c>
      <c r="D19">
        <v>2500</v>
      </c>
      <c r="E19">
        <v>3700</v>
      </c>
    </row>
    <row r="20" spans="1:5" x14ac:dyDescent="0.3">
      <c r="A20" s="2" t="s">
        <v>15</v>
      </c>
      <c r="B20">
        <v>2300</v>
      </c>
      <c r="C20">
        <v>5200</v>
      </c>
      <c r="D20">
        <v>3500</v>
      </c>
      <c r="E20">
        <v>11000</v>
      </c>
    </row>
    <row r="35" spans="1:4" x14ac:dyDescent="0.3">
      <c r="A35" s="1" t="s">
        <v>14</v>
      </c>
      <c r="B35" t="s">
        <v>16</v>
      </c>
    </row>
    <row r="36" spans="1:4" x14ac:dyDescent="0.3">
      <c r="A36" s="2">
        <v>2023</v>
      </c>
      <c r="B36">
        <v>1000</v>
      </c>
    </row>
    <row r="37" spans="1:4" x14ac:dyDescent="0.3">
      <c r="A37" s="2">
        <v>2024</v>
      </c>
      <c r="B37">
        <v>2500</v>
      </c>
    </row>
    <row r="38" spans="1:4" x14ac:dyDescent="0.3">
      <c r="A38" s="2">
        <v>2025</v>
      </c>
      <c r="B38">
        <v>4000</v>
      </c>
    </row>
    <row r="39" spans="1:4" x14ac:dyDescent="0.3">
      <c r="A39" s="2">
        <v>2026</v>
      </c>
      <c r="B39">
        <v>3500</v>
      </c>
      <c r="D39">
        <f>GETPIVOTDATA("[Measures].[Sum of Amount]",Analysis!$A$35)</f>
        <v>11000</v>
      </c>
    </row>
    <row r="40" spans="1:4" x14ac:dyDescent="0.3">
      <c r="A40" s="2" t="s">
        <v>15</v>
      </c>
      <c r="B40">
        <v>11000</v>
      </c>
    </row>
  </sheetData>
  <sortState xmlns:xlrd2="http://schemas.microsoft.com/office/spreadsheetml/2017/richdata2" ref="A15:E20">
    <sortCondition ref="A17" customList="January,February,March,April,May,June,July,August,September,October,November,December"/>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11EF2-968E-4813-83EA-C40A3C2570EA}">
  <dimension ref="U7"/>
  <sheetViews>
    <sheetView showGridLines="0" tabSelected="1" zoomScale="85" zoomScaleNormal="85" workbookViewId="0">
      <selection activeCell="W10" sqref="W10"/>
    </sheetView>
  </sheetViews>
  <sheetFormatPr defaultRowHeight="14.4" x14ac:dyDescent="0.3"/>
  <sheetData>
    <row r="7" spans="21:21" x14ac:dyDescent="0.3">
      <c r="U7" s="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13066-FADC-45E2-9C1D-77DF07509901}">
  <dimension ref="A1:A4"/>
  <sheetViews>
    <sheetView workbookViewId="0"/>
  </sheetViews>
  <sheetFormatPr defaultRowHeight="14.4" x14ac:dyDescent="0.3"/>
  <cols>
    <col min="1" max="1" width="12.33203125" bestFit="1" customWidth="1"/>
  </cols>
  <sheetData>
    <row r="1" spans="1:1" x14ac:dyDescent="0.3">
      <c r="A1" t="s">
        <v>13</v>
      </c>
    </row>
    <row r="2" spans="1:1" x14ac:dyDescent="0.3">
      <c r="A2" t="s">
        <v>5</v>
      </c>
    </row>
    <row r="3" spans="1:1" x14ac:dyDescent="0.3">
      <c r="A3" t="s">
        <v>6</v>
      </c>
    </row>
    <row r="4" spans="1:1" x14ac:dyDescent="0.3">
      <c r="A4" t="s">
        <v>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E5D4D-24EE-4653-AE52-A8A8302233FB}">
  <dimension ref="A1:A6"/>
  <sheetViews>
    <sheetView workbookViewId="0">
      <selection activeCell="B2" sqref="B2"/>
    </sheetView>
  </sheetViews>
  <sheetFormatPr defaultRowHeight="14.4" x14ac:dyDescent="0.3"/>
  <cols>
    <col min="1" max="1" width="15.33203125" bestFit="1" customWidth="1"/>
    <col min="2" max="2" width="9.21875" customWidth="1"/>
    <col min="3" max="3" width="9.109375" customWidth="1"/>
    <col min="4" max="4" width="14" customWidth="1"/>
  </cols>
  <sheetData>
    <row r="1" spans="1:1" x14ac:dyDescent="0.3">
      <c r="A1" t="s">
        <v>2</v>
      </c>
    </row>
    <row r="2" spans="1:1" x14ac:dyDescent="0.3">
      <c r="A2" t="s">
        <v>8</v>
      </c>
    </row>
    <row r="3" spans="1:1" x14ac:dyDescent="0.3">
      <c r="A3" t="s">
        <v>9</v>
      </c>
    </row>
    <row r="4" spans="1:1" x14ac:dyDescent="0.3">
      <c r="A4" t="s">
        <v>10</v>
      </c>
    </row>
    <row r="5" spans="1:1" x14ac:dyDescent="0.3">
      <c r="A5" t="s">
        <v>11</v>
      </c>
    </row>
    <row r="6" spans="1:1" x14ac:dyDescent="0.3">
      <c r="A6" t="s">
        <v>12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3616896-B637-473E-950F-E69F8444F37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Raw_Data</vt:lpstr>
      <vt:lpstr>Analysis</vt:lpstr>
      <vt:lpstr>Dashboard</vt:lpstr>
      <vt:lpstr>Sites</vt:lpstr>
      <vt:lpstr>Expense_Types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غادة رجب محمد عبد المعطى</dc:creator>
  <cp:lastModifiedBy>غادة رجب محمد عبد المعطى</cp:lastModifiedBy>
  <dcterms:created xsi:type="dcterms:W3CDTF">2026-01-24T07:55:29Z</dcterms:created>
  <dcterms:modified xsi:type="dcterms:W3CDTF">2026-02-06T14:30:59Z</dcterms:modified>
</cp:coreProperties>
</file>